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jdinmahmutovic/Desktop/claude/ai-website-cloner-template-master/data/"/>
    </mc:Choice>
  </mc:AlternateContent>
  <xr:revisionPtr revIDLastSave="0" documentId="13_ncr:1_{1F8B228C-8A22-6149-A1BC-19F16E8DE116}" xr6:coauthVersionLast="47" xr6:coauthVersionMax="47" xr10:uidLastSave="{00000000-0000-0000-0000-000000000000}"/>
  <bookViews>
    <workbookView xWindow="0" yWindow="780" windowWidth="34200" windowHeight="19540" activeTab="4" xr2:uid="{00000000-000D-0000-FFFF-FFFF00000000}"/>
  </bookViews>
  <sheets>
    <sheet name="Zgrade" sheetId="1" r:id="rId1"/>
    <sheet name="Drugi poslovi" sheetId="2" r:id="rId2"/>
    <sheet name="Zarada" sheetId="3" r:id="rId3"/>
    <sheet name="Raspored" sheetId="4" r:id="rId4"/>
    <sheet name="Zahtjevi" sheetId="5" r:id="rId5"/>
  </sheets>
  <definedNames>
    <definedName name="_xlnm._FilterDatabase" localSheetId="1">'Drugi poslovi'!$A$1:$G$2</definedName>
    <definedName name="_xlnm._FilterDatabase" localSheetId="0" hidden="1">Zgrade!$A$1:$H$49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4" i="3"/>
  <c r="D4" i="3"/>
  <c r="C4" i="3"/>
  <c r="B4" i="3"/>
</calcChain>
</file>

<file path=xl/sharedStrings.xml><?xml version="1.0" encoding="utf-8"?>
<sst xmlns="http://schemas.openxmlformats.org/spreadsheetml/2006/main" count="386" uniqueCount="142">
  <si>
    <t>Zgrada</t>
  </si>
  <si>
    <t>Adresa</t>
  </si>
  <si>
    <t>Upravitelj</t>
  </si>
  <si>
    <t>Predstavnik</t>
  </si>
  <si>
    <t>Telefon</t>
  </si>
  <si>
    <t>Status</t>
  </si>
  <si>
    <t>Mjesečna cijena (€)</t>
  </si>
  <si>
    <t>Bilješka</t>
  </si>
  <si>
    <t>Aleja Blaža Jurišića 29</t>
  </si>
  <si>
    <t>Aleja Blaža Jurišića 29, 10040 Zagreb, Hrvatska</t>
  </si>
  <si>
    <t/>
  </si>
  <si>
    <t>Aktivan</t>
  </si>
  <si>
    <t>Aleja Blaža Jurišića 53</t>
  </si>
  <si>
    <t>Aleja Blaža Jurišića 53, 10040 Zagreb, Hrvatska</t>
  </si>
  <si>
    <t>Aleja Blaža Jurišića 55</t>
  </si>
  <si>
    <t>Aleja Blaža Jurišića 55, 10040 Zagreb, Hrvatska</t>
  </si>
  <si>
    <t>Aleja Blaža Jurišića 59</t>
  </si>
  <si>
    <t>Aleja Blaža Jurišića 59, 10040 Zagreb, Hrvatska</t>
  </si>
  <si>
    <t>Aleja Blaža Jurišića 65</t>
  </si>
  <si>
    <t>Aleja Blaža Jurišića 65, 10040 Zagreb, Hrvatska</t>
  </si>
  <si>
    <t>Aleja Blaža Jurišića 75</t>
  </si>
  <si>
    <t>Aleja Blaža Jurišića 75, 10040 Zagreb, Hrvatska</t>
  </si>
  <si>
    <t>Antolovečki put 9</t>
  </si>
  <si>
    <t>Antolovečki put 9, 10040 Zagreb, Hrvatska</t>
  </si>
  <si>
    <t>badem</t>
  </si>
  <si>
    <t>Četvrte Poljanice 4</t>
  </si>
  <si>
    <t>Četvrte Poljanice 4, 10040 Zagreb, Hrvatska</t>
  </si>
  <si>
    <t>Črešnjevec 4</t>
  </si>
  <si>
    <t>Črešnjevec 4, 10163 Zagreb, Hrvatska</t>
  </si>
  <si>
    <t>Dubrava 134</t>
  </si>
  <si>
    <t>Dubrava 134, 10040 Zagreb, Hrvatska</t>
  </si>
  <si>
    <t>Siniša Hrbic</t>
  </si>
  <si>
    <t>0912915555</t>
  </si>
  <si>
    <t>Dubrava 39a</t>
  </si>
  <si>
    <t>Dubrava 39a, 10040 Zagreb, Hrvatska</t>
  </si>
  <si>
    <t>Potencijal</t>
  </si>
  <si>
    <t>Kontaktiran</t>
  </si>
  <si>
    <t>Ferenščica I. 57</t>
  </si>
  <si>
    <t>Ferenščica I. 57, 10135 Zagreb, Hrvatska</t>
  </si>
  <si>
    <t>Gomboševa ulica 26</t>
  </si>
  <si>
    <t>Gomboševa ulica 26, 10010 Zagreb, Hrvatska</t>
  </si>
  <si>
    <t>Gomboševa ulica 30</t>
  </si>
  <si>
    <t>Gomboševa ulica 30, 10010 Zagreb, Hrvatska</t>
  </si>
  <si>
    <t>Kriška ulica 105</t>
  </si>
  <si>
    <t>Kriška ulica 105, 10135 Zagreb, Hrvatska</t>
  </si>
  <si>
    <t>Mirna Fuček</t>
  </si>
  <si>
    <t>0976709092</t>
  </si>
  <si>
    <t>Kriška ulica 107</t>
  </si>
  <si>
    <t>Kriška ulica 107, 10135 Zagreb, Hrvatska</t>
  </si>
  <si>
    <t>Krotovica 14</t>
  </si>
  <si>
    <t>Krotovica 14, 10040 Zagreb, Hrvatska</t>
  </si>
  <si>
    <t>tomisla</t>
  </si>
  <si>
    <t>Lovinčićeva ulica 1a</t>
  </si>
  <si>
    <t>Lovinčićeva ulica 1a, 10135 Zagreb, Hrvatska</t>
  </si>
  <si>
    <t>Lovinčićeva ulica 1b</t>
  </si>
  <si>
    <t>Lovinčićeva ulica 1b, 10135 Zagreb, Hrvatska</t>
  </si>
  <si>
    <t>Novačka ulica 343</t>
  </si>
  <si>
    <t>Novačka ulica 343, 10040 Zagreb, Hrvatska</t>
  </si>
  <si>
    <t>Prve Poljanice 11</t>
  </si>
  <si>
    <t>Prve Poljanice 11, 10040 Zagreb, Hrvatska</t>
  </si>
  <si>
    <t>Prve Poljanice 13</t>
  </si>
  <si>
    <t>Prve Poljanice 13, 10040 Zagreb, Hrvatska</t>
  </si>
  <si>
    <t>Prve Poljanice 15</t>
  </si>
  <si>
    <t>Prve Poljanice 15, 10040 Zagreb, Hrvatska</t>
  </si>
  <si>
    <t>Prve Poljanice 7</t>
  </si>
  <si>
    <t>Prve Poljanice 7, 10040 Zagreb, Hrvatska</t>
  </si>
  <si>
    <t>Remetski Banjščak 15</t>
  </si>
  <si>
    <t>Remetski Banjščak 15, 10163 Zagreb, Hrvatska</t>
  </si>
  <si>
    <t>fran</t>
  </si>
  <si>
    <t>Svibanjčica 4</t>
  </si>
  <si>
    <t>Svibanjčica 4, 10163 Zagreb, Hrvatska</t>
  </si>
  <si>
    <t>Svibanjčica 4a</t>
  </si>
  <si>
    <t>Svibanjčica 4a, 10163 Zagreb, Hrvatska</t>
  </si>
  <si>
    <t>Igor Lipovac</t>
  </si>
  <si>
    <t>0956328206</t>
  </si>
  <si>
    <t>Teškovec 2</t>
  </si>
  <si>
    <t>Teškovec 2, 10090 Zagreb, Hrvatska</t>
  </si>
  <si>
    <t>Ulica Augusta Musića 26</t>
  </si>
  <si>
    <t>Ulica Augusta Musića 26, 10040 Zagreb, Hrvatska</t>
  </si>
  <si>
    <t>Ulica Augusta Musića 30</t>
  </si>
  <si>
    <t>Ulica Augusta Musića 30, 10040 Zagreb, Hrvatska</t>
  </si>
  <si>
    <t>Ulica Božidara Magovca 55</t>
  </si>
  <si>
    <t>Ulica Božidara Magovca 55, 10010 Zagreb, Hrvatska</t>
  </si>
  <si>
    <t>Ulica Davora Zbiljskog 2</t>
  </si>
  <si>
    <t>Ulica Davora Zbiljskog 2, 10000 Zagreb, Hrvatska</t>
  </si>
  <si>
    <t>Ulica Frana Alfirevića 13</t>
  </si>
  <si>
    <t>Ulica Frana Alfirevića 13, 10135 Zagreb, Hrvatska</t>
  </si>
  <si>
    <t>Adrijana šitum šušić</t>
  </si>
  <si>
    <t>Ulica Frana Alfirevića 51</t>
  </si>
  <si>
    <t>Ulica Frana Alfirevića 51, 10135 Zagreb, Hrvatska</t>
  </si>
  <si>
    <t>Ulica grada Chicaga 1</t>
  </si>
  <si>
    <t>Ulica grada Chicaga 1, 10000 Zagreb, Hrvatska</t>
  </si>
  <si>
    <t>Ulica grada Chicaga 3</t>
  </si>
  <si>
    <t>Ulica grada Chicaga 3, 10000 Zagreb, Hrvatska</t>
  </si>
  <si>
    <t>Ulica Milovana Gavazzija 5</t>
  </si>
  <si>
    <t>Ulica Milovana Gavazzija 5, 10040 Zagreb, Hrvatska</t>
  </si>
  <si>
    <t>Ulica Milovana Gavazzija 7</t>
  </si>
  <si>
    <t>Ulica Milovana Gavazzija 7, 10040 Zagreb, Hrvatska</t>
  </si>
  <si>
    <t>Ulica Milovana Gavazzija 9</t>
  </si>
  <si>
    <t>Ulica Milovana Gavazzija 9, 10040 Zagreb, Hrvatska</t>
  </si>
  <si>
    <t>Ulica Nikole Škrlca 9</t>
  </si>
  <si>
    <t>Ulica Nikole Škrlca 9, 10123 Zagreb, Hrvatska</t>
  </si>
  <si>
    <t>Ulica Šime Starčevića 2</t>
  </si>
  <si>
    <t>Ulica Šime Starčevića 2, 10000 Zagreb, Hrvatska</t>
  </si>
  <si>
    <t>Ulica Zvonimira Ljevakovića 13</t>
  </si>
  <si>
    <t>Ulica Zvonimira Ljevakovića 13, 10040 Zagreb, Hrvatska</t>
  </si>
  <si>
    <t>Ulica Zvonimira Ljevakovića 15</t>
  </si>
  <si>
    <t>Ulica Zvonimira Ljevakovića 15, 10040 Zagreb, Hrvatska</t>
  </si>
  <si>
    <t>Vile Velebita 1</t>
  </si>
  <si>
    <t>Vile Velebita 1, 10040 Zagreb, Hrvatska</t>
  </si>
  <si>
    <t>Vukomerec 30</t>
  </si>
  <si>
    <t>Vukomerec 30, 10135 Zagreb, Hrvatska</t>
  </si>
  <si>
    <t>BMD</t>
  </si>
  <si>
    <t>Vukomerec 47</t>
  </si>
  <si>
    <t>Vukomerec 47, 10135 Zagreb, Hrvatska</t>
  </si>
  <si>
    <t>Stambeni Zg</t>
  </si>
  <si>
    <t>Naziv posla</t>
  </si>
  <si>
    <t>Adresa / klijent</t>
  </si>
  <si>
    <t>Datum</t>
  </si>
  <si>
    <t>Prihod (€)</t>
  </si>
  <si>
    <t>Trošak (€)</t>
  </si>
  <si>
    <t>garderoba kafić</t>
  </si>
  <si>
    <t>Martićeva 17/ Creato</t>
  </si>
  <si>
    <t>Napravljeno</t>
  </si>
  <si>
    <t>30.04.2026</t>
  </si>
  <si>
    <t>Mjesec</t>
  </si>
  <si>
    <t>Stalni prihod (€)</t>
  </si>
  <si>
    <t>Jednokratni (€)</t>
  </si>
  <si>
    <t>Ukupno prihod (€)</t>
  </si>
  <si>
    <t>Neto (€)</t>
  </si>
  <si>
    <t>2026-04</t>
  </si>
  <si>
    <t>2026-05</t>
  </si>
  <si>
    <t>UKUPNO</t>
  </si>
  <si>
    <t>POTENCIJALNA ZARADA</t>
  </si>
  <si>
    <t>Potencijalne zgrade (mj.)</t>
  </si>
  <si>
    <t>Potencijalni poslovi</t>
  </si>
  <si>
    <t>UKUPNO POTENCIJAL</t>
  </si>
  <si>
    <t>Što</t>
  </si>
  <si>
    <t>Ime</t>
  </si>
  <si>
    <t>Email</t>
  </si>
  <si>
    <t>Usluga</t>
  </si>
  <si>
    <t>Poruka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</si>
</sst>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opLeftCell="A29" workbookViewId="0">
      <selection activeCell="F1" sqref="F1"/>
    </sheetView>
  </sheetViews>
  <sheetFormatPr baseColWidth="10" defaultRowHeight="16" x14ac:dyDescent="0.2"/>
  <cols>
    <col min="1" max="1" width="32.83203125" customWidth="1"/>
    <col min="2" max="2" width="42.83203125" customWidth="1"/>
    <col min="3" max="3" width="24.83203125" customWidth="1"/>
    <col min="4" max="4" width="22.83203125" customWidth="1"/>
    <col min="5" max="5" width="16.83203125" customWidth="1"/>
    <col min="6" max="6" width="14.83203125" customWidth="1"/>
    <col min="7" max="7" width="18.83203125" customWidth="1"/>
    <col min="8" max="8" width="30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>
        <v>100</v>
      </c>
      <c r="H2" t="s">
        <v>10</v>
      </c>
    </row>
    <row r="3" spans="1:8" x14ac:dyDescent="0.2">
      <c r="A3" t="s">
        <v>12</v>
      </c>
      <c r="B3" t="s">
        <v>13</v>
      </c>
      <c r="C3" t="s">
        <v>10</v>
      </c>
      <c r="D3" t="s">
        <v>10</v>
      </c>
      <c r="E3" t="s">
        <v>10</v>
      </c>
      <c r="F3" t="s">
        <v>11</v>
      </c>
      <c r="G3">
        <v>100</v>
      </c>
      <c r="H3" t="s">
        <v>10</v>
      </c>
    </row>
    <row r="4" spans="1:8" x14ac:dyDescent="0.2">
      <c r="A4" t="s">
        <v>14</v>
      </c>
      <c r="B4" t="s">
        <v>15</v>
      </c>
      <c r="C4" t="s">
        <v>10</v>
      </c>
      <c r="D4" t="s">
        <v>10</v>
      </c>
      <c r="E4" t="s">
        <v>10</v>
      </c>
      <c r="F4" t="s">
        <v>11</v>
      </c>
      <c r="G4">
        <v>100</v>
      </c>
      <c r="H4" t="s">
        <v>10</v>
      </c>
    </row>
    <row r="5" spans="1:8" x14ac:dyDescent="0.2">
      <c r="A5" t="s">
        <v>16</v>
      </c>
      <c r="B5" t="s">
        <v>17</v>
      </c>
      <c r="C5" t="s">
        <v>10</v>
      </c>
      <c r="D5" t="s">
        <v>10</v>
      </c>
      <c r="E5" t="s">
        <v>10</v>
      </c>
      <c r="F5" t="s">
        <v>11</v>
      </c>
      <c r="G5">
        <v>100</v>
      </c>
      <c r="H5" t="s">
        <v>10</v>
      </c>
    </row>
    <row r="6" spans="1:8" x14ac:dyDescent="0.2">
      <c r="A6" t="s">
        <v>18</v>
      </c>
      <c r="B6" t="s">
        <v>19</v>
      </c>
      <c r="C6" t="s">
        <v>10</v>
      </c>
      <c r="D6" t="s">
        <v>10</v>
      </c>
      <c r="E6" t="s">
        <v>10</v>
      </c>
      <c r="F6" t="s">
        <v>11</v>
      </c>
      <c r="G6">
        <v>90</v>
      </c>
      <c r="H6" t="s">
        <v>10</v>
      </c>
    </row>
    <row r="7" spans="1:8" x14ac:dyDescent="0.2">
      <c r="A7" t="s">
        <v>20</v>
      </c>
      <c r="B7" t="s">
        <v>21</v>
      </c>
      <c r="C7" t="s">
        <v>10</v>
      </c>
      <c r="D7" t="s">
        <v>10</v>
      </c>
      <c r="E7" t="s">
        <v>10</v>
      </c>
      <c r="F7" t="s">
        <v>11</v>
      </c>
      <c r="G7">
        <v>91</v>
      </c>
      <c r="H7" t="s">
        <v>10</v>
      </c>
    </row>
    <row r="8" spans="1:8" x14ac:dyDescent="0.2">
      <c r="A8" t="s">
        <v>22</v>
      </c>
      <c r="B8" t="s">
        <v>23</v>
      </c>
      <c r="C8" t="s">
        <v>10</v>
      </c>
      <c r="D8" t="s">
        <v>10</v>
      </c>
      <c r="E8" t="s">
        <v>10</v>
      </c>
      <c r="F8" t="s">
        <v>11</v>
      </c>
      <c r="G8">
        <v>100</v>
      </c>
      <c r="H8" t="s">
        <v>24</v>
      </c>
    </row>
    <row r="9" spans="1:8" x14ac:dyDescent="0.2">
      <c r="A9" t="s">
        <v>25</v>
      </c>
      <c r="B9" t="s">
        <v>26</v>
      </c>
      <c r="C9" t="s">
        <v>10</v>
      </c>
      <c r="D9" t="s">
        <v>10</v>
      </c>
      <c r="E9" t="s">
        <v>10</v>
      </c>
      <c r="F9" t="s">
        <v>11</v>
      </c>
      <c r="G9">
        <v>107</v>
      </c>
      <c r="H9" t="s">
        <v>10</v>
      </c>
    </row>
    <row r="10" spans="1:8" x14ac:dyDescent="0.2">
      <c r="A10" t="s">
        <v>27</v>
      </c>
      <c r="B10" t="s">
        <v>28</v>
      </c>
      <c r="C10" t="s">
        <v>10</v>
      </c>
      <c r="D10" t="s">
        <v>10</v>
      </c>
      <c r="E10" t="s">
        <v>10</v>
      </c>
      <c r="F10" t="s">
        <v>11</v>
      </c>
      <c r="G10">
        <v>60</v>
      </c>
      <c r="H10" t="s">
        <v>10</v>
      </c>
    </row>
    <row r="11" spans="1:8" x14ac:dyDescent="0.2">
      <c r="A11" t="s">
        <v>29</v>
      </c>
      <c r="B11" t="s">
        <v>30</v>
      </c>
      <c r="C11" t="s">
        <v>10</v>
      </c>
      <c r="D11" t="s">
        <v>31</v>
      </c>
      <c r="E11" t="s">
        <v>32</v>
      </c>
      <c r="F11" t="s">
        <v>11</v>
      </c>
      <c r="G11">
        <v>150</v>
      </c>
      <c r="H11" t="s">
        <v>10</v>
      </c>
    </row>
    <row r="12" spans="1:8" x14ac:dyDescent="0.2">
      <c r="A12" t="s">
        <v>33</v>
      </c>
      <c r="B12" t="s">
        <v>34</v>
      </c>
      <c r="C12" t="s">
        <v>10</v>
      </c>
      <c r="D12" t="s">
        <v>10</v>
      </c>
      <c r="E12" t="s">
        <v>10</v>
      </c>
      <c r="F12" t="s">
        <v>35</v>
      </c>
      <c r="G12">
        <v>400</v>
      </c>
      <c r="H12" t="s">
        <v>10</v>
      </c>
    </row>
    <row r="13" spans="1:8" x14ac:dyDescent="0.2">
      <c r="A13" t="s">
        <v>33</v>
      </c>
      <c r="B13" t="s">
        <v>34</v>
      </c>
      <c r="C13" t="s">
        <v>10</v>
      </c>
      <c r="D13" t="s">
        <v>10</v>
      </c>
      <c r="E13" t="s">
        <v>10</v>
      </c>
      <c r="F13" t="s">
        <v>35</v>
      </c>
      <c r="G13">
        <v>400</v>
      </c>
      <c r="H13" t="s">
        <v>10</v>
      </c>
    </row>
    <row r="14" spans="1:8" x14ac:dyDescent="0.2">
      <c r="A14" t="s">
        <v>33</v>
      </c>
      <c r="B14" t="s">
        <v>34</v>
      </c>
      <c r="C14" t="s">
        <v>10</v>
      </c>
      <c r="D14" t="s">
        <v>10</v>
      </c>
      <c r="E14" t="s">
        <v>10</v>
      </c>
      <c r="F14" t="s">
        <v>36</v>
      </c>
      <c r="G14">
        <v>400</v>
      </c>
      <c r="H14" t="s">
        <v>10</v>
      </c>
    </row>
    <row r="15" spans="1:8" x14ac:dyDescent="0.2">
      <c r="A15" t="s">
        <v>37</v>
      </c>
      <c r="B15" t="s">
        <v>38</v>
      </c>
      <c r="C15" t="s">
        <v>10</v>
      </c>
      <c r="D15" t="s">
        <v>10</v>
      </c>
      <c r="E15" t="s">
        <v>10</v>
      </c>
      <c r="F15" t="s">
        <v>11</v>
      </c>
      <c r="G15">
        <v>132</v>
      </c>
      <c r="H15" t="s">
        <v>10</v>
      </c>
    </row>
    <row r="16" spans="1:8" x14ac:dyDescent="0.2">
      <c r="A16" t="s">
        <v>39</v>
      </c>
      <c r="B16" t="s">
        <v>40</v>
      </c>
      <c r="C16" t="s">
        <v>10</v>
      </c>
      <c r="D16" t="s">
        <v>10</v>
      </c>
      <c r="E16" t="s">
        <v>10</v>
      </c>
      <c r="F16" t="s">
        <v>11</v>
      </c>
      <c r="G16">
        <v>80</v>
      </c>
      <c r="H16" t="s">
        <v>10</v>
      </c>
    </row>
    <row r="17" spans="1:8" x14ac:dyDescent="0.2">
      <c r="A17" t="s">
        <v>41</v>
      </c>
      <c r="B17" t="s">
        <v>42</v>
      </c>
      <c r="C17" t="s">
        <v>10</v>
      </c>
      <c r="D17" t="s">
        <v>10</v>
      </c>
      <c r="E17" t="s">
        <v>10</v>
      </c>
      <c r="F17" t="s">
        <v>11</v>
      </c>
      <c r="G17">
        <v>240</v>
      </c>
      <c r="H17" t="s">
        <v>10</v>
      </c>
    </row>
    <row r="18" spans="1:8" x14ac:dyDescent="0.2">
      <c r="A18" t="s">
        <v>43</v>
      </c>
      <c r="B18" t="s">
        <v>44</v>
      </c>
      <c r="C18" t="s">
        <v>10</v>
      </c>
      <c r="D18" t="s">
        <v>45</v>
      </c>
      <c r="E18" t="s">
        <v>46</v>
      </c>
      <c r="F18" t="s">
        <v>11</v>
      </c>
      <c r="G18">
        <v>100</v>
      </c>
      <c r="H18" t="s">
        <v>10</v>
      </c>
    </row>
    <row r="19" spans="1:8" x14ac:dyDescent="0.2">
      <c r="A19" t="s">
        <v>47</v>
      </c>
      <c r="B19" t="s">
        <v>48</v>
      </c>
      <c r="C19" t="s">
        <v>10</v>
      </c>
      <c r="D19" t="s">
        <v>10</v>
      </c>
      <c r="E19" t="s">
        <v>10</v>
      </c>
      <c r="F19" t="s">
        <v>11</v>
      </c>
      <c r="G19">
        <v>100</v>
      </c>
      <c r="H19" t="s">
        <v>10</v>
      </c>
    </row>
    <row r="20" spans="1:8" x14ac:dyDescent="0.2">
      <c r="A20" t="s">
        <v>49</v>
      </c>
      <c r="B20" t="s">
        <v>50</v>
      </c>
      <c r="C20" t="s">
        <v>10</v>
      </c>
      <c r="D20" t="s">
        <v>51</v>
      </c>
      <c r="E20" t="s">
        <v>10</v>
      </c>
      <c r="F20" t="s">
        <v>11</v>
      </c>
      <c r="G20">
        <v>300</v>
      </c>
      <c r="H20" t="s">
        <v>10</v>
      </c>
    </row>
    <row r="21" spans="1:8" x14ac:dyDescent="0.2">
      <c r="A21" t="s">
        <v>52</v>
      </c>
      <c r="B21" t="s">
        <v>53</v>
      </c>
      <c r="C21" t="s">
        <v>10</v>
      </c>
      <c r="D21" t="s">
        <v>10</v>
      </c>
      <c r="E21" t="s">
        <v>10</v>
      </c>
      <c r="F21" t="s">
        <v>35</v>
      </c>
      <c r="G21">
        <v>450</v>
      </c>
      <c r="H21" t="s">
        <v>10</v>
      </c>
    </row>
    <row r="22" spans="1:8" x14ac:dyDescent="0.2">
      <c r="A22" t="s">
        <v>54</v>
      </c>
      <c r="B22" t="s">
        <v>55</v>
      </c>
      <c r="C22" t="s">
        <v>10</v>
      </c>
      <c r="D22" t="s">
        <v>10</v>
      </c>
      <c r="E22" t="s">
        <v>10</v>
      </c>
      <c r="F22" t="s">
        <v>35</v>
      </c>
      <c r="G22">
        <v>450</v>
      </c>
      <c r="H22" t="s">
        <v>10</v>
      </c>
    </row>
    <row r="23" spans="1:8" x14ac:dyDescent="0.2">
      <c r="A23" t="s">
        <v>56</v>
      </c>
      <c r="B23" t="s">
        <v>57</v>
      </c>
      <c r="C23" t="s">
        <v>10</v>
      </c>
      <c r="D23" t="s">
        <v>10</v>
      </c>
      <c r="E23" t="s">
        <v>10</v>
      </c>
      <c r="F23" t="s">
        <v>11</v>
      </c>
      <c r="G23">
        <v>100</v>
      </c>
      <c r="H23" t="s">
        <v>10</v>
      </c>
    </row>
    <row r="24" spans="1:8" x14ac:dyDescent="0.2">
      <c r="A24" t="s">
        <v>58</v>
      </c>
      <c r="B24" t="s">
        <v>59</v>
      </c>
      <c r="C24" t="s">
        <v>10</v>
      </c>
      <c r="D24" t="s">
        <v>10</v>
      </c>
      <c r="E24" t="s">
        <v>10</v>
      </c>
      <c r="F24" t="s">
        <v>11</v>
      </c>
      <c r="G24">
        <v>113</v>
      </c>
      <c r="H24" t="s">
        <v>10</v>
      </c>
    </row>
    <row r="25" spans="1:8" x14ac:dyDescent="0.2">
      <c r="A25" t="s">
        <v>60</v>
      </c>
      <c r="B25" t="s">
        <v>61</v>
      </c>
      <c r="C25" t="s">
        <v>10</v>
      </c>
      <c r="D25" t="s">
        <v>10</v>
      </c>
      <c r="E25" t="s">
        <v>10</v>
      </c>
      <c r="F25" t="s">
        <v>11</v>
      </c>
      <c r="G25">
        <v>113</v>
      </c>
      <c r="H25" t="s">
        <v>10</v>
      </c>
    </row>
    <row r="26" spans="1:8" x14ac:dyDescent="0.2">
      <c r="A26" t="s">
        <v>62</v>
      </c>
      <c r="B26" t="s">
        <v>63</v>
      </c>
      <c r="C26" t="s">
        <v>10</v>
      </c>
      <c r="D26" t="s">
        <v>10</v>
      </c>
      <c r="E26" t="s">
        <v>10</v>
      </c>
      <c r="F26" t="s">
        <v>11</v>
      </c>
      <c r="G26">
        <v>0</v>
      </c>
      <c r="H26" t="s">
        <v>10</v>
      </c>
    </row>
    <row r="27" spans="1:8" x14ac:dyDescent="0.2">
      <c r="A27" t="s">
        <v>64</v>
      </c>
      <c r="B27" t="s">
        <v>65</v>
      </c>
      <c r="C27" t="s">
        <v>10</v>
      </c>
      <c r="D27" t="s">
        <v>10</v>
      </c>
      <c r="E27" t="s">
        <v>10</v>
      </c>
      <c r="F27" t="s">
        <v>11</v>
      </c>
      <c r="G27">
        <v>100</v>
      </c>
      <c r="H27" t="s">
        <v>10</v>
      </c>
    </row>
    <row r="28" spans="1:8" x14ac:dyDescent="0.2">
      <c r="A28" t="s">
        <v>66</v>
      </c>
      <c r="B28" t="s">
        <v>67</v>
      </c>
      <c r="C28" t="s">
        <v>10</v>
      </c>
      <c r="D28" t="s">
        <v>68</v>
      </c>
      <c r="E28" t="s">
        <v>10</v>
      </c>
      <c r="F28" t="s">
        <v>11</v>
      </c>
      <c r="G28">
        <v>100</v>
      </c>
      <c r="H28" t="s">
        <v>10</v>
      </c>
    </row>
    <row r="29" spans="1:8" x14ac:dyDescent="0.2">
      <c r="A29" t="s">
        <v>69</v>
      </c>
      <c r="B29" t="s">
        <v>70</v>
      </c>
      <c r="C29" t="s">
        <v>10</v>
      </c>
      <c r="D29" t="s">
        <v>10</v>
      </c>
      <c r="E29" t="s">
        <v>10</v>
      </c>
      <c r="F29" t="s">
        <v>11</v>
      </c>
      <c r="G29">
        <v>100</v>
      </c>
      <c r="H29" t="s">
        <v>10</v>
      </c>
    </row>
    <row r="30" spans="1:8" x14ac:dyDescent="0.2">
      <c r="A30" t="s">
        <v>71</v>
      </c>
      <c r="B30" t="s">
        <v>72</v>
      </c>
      <c r="C30" t="s">
        <v>10</v>
      </c>
      <c r="D30" t="s">
        <v>73</v>
      </c>
      <c r="E30" t="s">
        <v>74</v>
      </c>
      <c r="F30" t="s">
        <v>36</v>
      </c>
      <c r="G30">
        <v>100</v>
      </c>
      <c r="H30" t="s">
        <v>10</v>
      </c>
    </row>
    <row r="31" spans="1:8" x14ac:dyDescent="0.2">
      <c r="A31" t="s">
        <v>75</v>
      </c>
      <c r="B31" t="s">
        <v>76</v>
      </c>
      <c r="C31" t="s">
        <v>10</v>
      </c>
      <c r="D31" t="s">
        <v>10</v>
      </c>
      <c r="E31" t="s">
        <v>10</v>
      </c>
      <c r="F31" t="s">
        <v>11</v>
      </c>
      <c r="G31">
        <v>400</v>
      </c>
      <c r="H31" t="s">
        <v>10</v>
      </c>
    </row>
    <row r="32" spans="1:8" x14ac:dyDescent="0.2">
      <c r="A32" t="s">
        <v>77</v>
      </c>
      <c r="B32" t="s">
        <v>78</v>
      </c>
      <c r="C32" t="s">
        <v>10</v>
      </c>
      <c r="D32" t="s">
        <v>10</v>
      </c>
      <c r="E32" t="s">
        <v>10</v>
      </c>
      <c r="F32" t="s">
        <v>36</v>
      </c>
      <c r="G32">
        <v>115</v>
      </c>
      <c r="H32" t="s">
        <v>10</v>
      </c>
    </row>
    <row r="33" spans="1:8" x14ac:dyDescent="0.2">
      <c r="A33" t="s">
        <v>79</v>
      </c>
      <c r="B33" t="s">
        <v>80</v>
      </c>
      <c r="C33" t="s">
        <v>10</v>
      </c>
      <c r="D33" t="s">
        <v>10</v>
      </c>
      <c r="E33" t="s">
        <v>10</v>
      </c>
      <c r="F33" t="s">
        <v>11</v>
      </c>
      <c r="G33">
        <v>150</v>
      </c>
      <c r="H33" t="s">
        <v>10</v>
      </c>
    </row>
    <row r="34" spans="1:8" x14ac:dyDescent="0.2">
      <c r="A34" t="s">
        <v>81</v>
      </c>
      <c r="B34" t="s">
        <v>82</v>
      </c>
      <c r="C34" t="s">
        <v>10</v>
      </c>
      <c r="D34" t="s">
        <v>10</v>
      </c>
      <c r="E34" t="s">
        <v>10</v>
      </c>
      <c r="F34" t="s">
        <v>11</v>
      </c>
      <c r="G34">
        <v>331</v>
      </c>
      <c r="H34" t="s">
        <v>10</v>
      </c>
    </row>
    <row r="35" spans="1:8" x14ac:dyDescent="0.2">
      <c r="A35" t="s">
        <v>83</v>
      </c>
      <c r="B35" t="s">
        <v>84</v>
      </c>
      <c r="C35" t="s">
        <v>10</v>
      </c>
      <c r="D35" t="s">
        <v>10</v>
      </c>
      <c r="E35" t="s">
        <v>10</v>
      </c>
      <c r="F35" t="s">
        <v>11</v>
      </c>
      <c r="G35">
        <v>126</v>
      </c>
      <c r="H35" t="s">
        <v>10</v>
      </c>
    </row>
    <row r="36" spans="1:8" x14ac:dyDescent="0.2">
      <c r="A36" t="s">
        <v>85</v>
      </c>
      <c r="B36" t="s">
        <v>86</v>
      </c>
      <c r="C36" t="s">
        <v>10</v>
      </c>
      <c r="D36" t="s">
        <v>87</v>
      </c>
      <c r="E36" t="s">
        <v>10</v>
      </c>
      <c r="F36" t="s">
        <v>11</v>
      </c>
      <c r="G36">
        <v>50</v>
      </c>
      <c r="H36" t="s">
        <v>10</v>
      </c>
    </row>
    <row r="37" spans="1:8" x14ac:dyDescent="0.2">
      <c r="A37" t="s">
        <v>88</v>
      </c>
      <c r="B37" t="s">
        <v>89</v>
      </c>
      <c r="C37" t="s">
        <v>10</v>
      </c>
      <c r="D37" t="s">
        <v>10</v>
      </c>
      <c r="E37" t="s">
        <v>10</v>
      </c>
      <c r="F37" t="s">
        <v>11</v>
      </c>
      <c r="G37">
        <v>70</v>
      </c>
      <c r="H37" t="s">
        <v>10</v>
      </c>
    </row>
    <row r="38" spans="1:8" x14ac:dyDescent="0.2">
      <c r="A38" t="s">
        <v>90</v>
      </c>
      <c r="B38" t="s">
        <v>91</v>
      </c>
      <c r="C38" t="s">
        <v>10</v>
      </c>
      <c r="D38" t="s">
        <v>10</v>
      </c>
      <c r="E38" t="s">
        <v>10</v>
      </c>
      <c r="F38" t="s">
        <v>11</v>
      </c>
      <c r="G38">
        <v>160</v>
      </c>
      <c r="H38" t="s">
        <v>10</v>
      </c>
    </row>
    <row r="39" spans="1:8" x14ac:dyDescent="0.2">
      <c r="A39" t="s">
        <v>92</v>
      </c>
      <c r="B39" t="s">
        <v>93</v>
      </c>
      <c r="C39" t="s">
        <v>10</v>
      </c>
      <c r="D39" t="s">
        <v>10</v>
      </c>
      <c r="E39" t="s">
        <v>10</v>
      </c>
      <c r="F39" t="s">
        <v>11</v>
      </c>
      <c r="G39">
        <v>200</v>
      </c>
      <c r="H39" t="s">
        <v>10</v>
      </c>
    </row>
    <row r="40" spans="1:8" x14ac:dyDescent="0.2">
      <c r="A40" t="s">
        <v>94</v>
      </c>
      <c r="B40" t="s">
        <v>95</v>
      </c>
      <c r="C40" t="s">
        <v>10</v>
      </c>
      <c r="D40" t="s">
        <v>10</v>
      </c>
      <c r="E40" t="s">
        <v>10</v>
      </c>
      <c r="F40" t="s">
        <v>11</v>
      </c>
      <c r="G40">
        <v>100</v>
      </c>
      <c r="H40" t="s">
        <v>10</v>
      </c>
    </row>
    <row r="41" spans="1:8" x14ac:dyDescent="0.2">
      <c r="A41" t="s">
        <v>96</v>
      </c>
      <c r="B41" t="s">
        <v>97</v>
      </c>
      <c r="C41" t="s">
        <v>10</v>
      </c>
      <c r="D41" t="s">
        <v>10</v>
      </c>
      <c r="E41" t="s">
        <v>10</v>
      </c>
      <c r="F41" t="s">
        <v>11</v>
      </c>
      <c r="G41">
        <v>100</v>
      </c>
      <c r="H41" t="s">
        <v>10</v>
      </c>
    </row>
    <row r="42" spans="1:8" x14ac:dyDescent="0.2">
      <c r="A42" t="s">
        <v>98</v>
      </c>
      <c r="B42" t="s">
        <v>99</v>
      </c>
      <c r="C42" t="s">
        <v>10</v>
      </c>
      <c r="D42" t="s">
        <v>10</v>
      </c>
      <c r="E42" t="s">
        <v>10</v>
      </c>
      <c r="F42" t="s">
        <v>11</v>
      </c>
      <c r="G42">
        <v>0</v>
      </c>
      <c r="H42" t="s">
        <v>10</v>
      </c>
    </row>
    <row r="43" spans="1:8" x14ac:dyDescent="0.2">
      <c r="A43" t="s">
        <v>100</v>
      </c>
      <c r="B43" t="s">
        <v>101</v>
      </c>
      <c r="C43" t="s">
        <v>10</v>
      </c>
      <c r="D43" t="s">
        <v>10</v>
      </c>
      <c r="E43" t="s">
        <v>10</v>
      </c>
      <c r="F43" t="s">
        <v>11</v>
      </c>
      <c r="G43">
        <v>50</v>
      </c>
      <c r="H43" t="s">
        <v>10</v>
      </c>
    </row>
    <row r="44" spans="1:8" x14ac:dyDescent="0.2">
      <c r="A44" t="s">
        <v>102</v>
      </c>
      <c r="B44" t="s">
        <v>103</v>
      </c>
      <c r="C44" t="s">
        <v>10</v>
      </c>
      <c r="D44" t="s">
        <v>10</v>
      </c>
      <c r="E44" t="s">
        <v>10</v>
      </c>
      <c r="F44" t="s">
        <v>11</v>
      </c>
      <c r="G44">
        <v>200</v>
      </c>
      <c r="H44" t="s">
        <v>10</v>
      </c>
    </row>
    <row r="45" spans="1:8" x14ac:dyDescent="0.2">
      <c r="A45" t="s">
        <v>104</v>
      </c>
      <c r="B45" t="s">
        <v>105</v>
      </c>
      <c r="C45" t="s">
        <v>10</v>
      </c>
      <c r="D45" t="s">
        <v>10</v>
      </c>
      <c r="E45" t="s">
        <v>10</v>
      </c>
      <c r="F45" t="s">
        <v>11</v>
      </c>
      <c r="G45">
        <v>150</v>
      </c>
      <c r="H45" t="s">
        <v>10</v>
      </c>
    </row>
    <row r="46" spans="1:8" x14ac:dyDescent="0.2">
      <c r="A46" t="s">
        <v>106</v>
      </c>
      <c r="B46" t="s">
        <v>107</v>
      </c>
      <c r="C46" t="s">
        <v>10</v>
      </c>
      <c r="D46" t="s">
        <v>10</v>
      </c>
      <c r="E46" t="s">
        <v>10</v>
      </c>
      <c r="F46" t="s">
        <v>11</v>
      </c>
      <c r="G46">
        <v>150</v>
      </c>
      <c r="H46" t="s">
        <v>10</v>
      </c>
    </row>
    <row r="47" spans="1:8" x14ac:dyDescent="0.2">
      <c r="A47" t="s">
        <v>108</v>
      </c>
      <c r="B47" t="s">
        <v>109</v>
      </c>
      <c r="C47" t="s">
        <v>10</v>
      </c>
      <c r="D47" t="s">
        <v>10</v>
      </c>
      <c r="E47" t="s">
        <v>10</v>
      </c>
      <c r="F47" t="s">
        <v>11</v>
      </c>
      <c r="G47">
        <v>100</v>
      </c>
      <c r="H47" t="s">
        <v>10</v>
      </c>
    </row>
    <row r="48" spans="1:8" x14ac:dyDescent="0.2">
      <c r="A48" t="s">
        <v>110</v>
      </c>
      <c r="B48" t="s">
        <v>111</v>
      </c>
      <c r="C48" t="s">
        <v>112</v>
      </c>
      <c r="D48" t="s">
        <v>10</v>
      </c>
      <c r="E48" t="s">
        <v>10</v>
      </c>
      <c r="F48" t="s">
        <v>11</v>
      </c>
      <c r="G48">
        <v>100</v>
      </c>
      <c r="H48" t="s">
        <v>10</v>
      </c>
    </row>
    <row r="49" spans="1:8" x14ac:dyDescent="0.2">
      <c r="A49" t="s">
        <v>113</v>
      </c>
      <c r="B49" t="s">
        <v>114</v>
      </c>
      <c r="C49" t="s">
        <v>115</v>
      </c>
      <c r="D49" t="s">
        <v>10</v>
      </c>
      <c r="E49" t="s">
        <v>10</v>
      </c>
      <c r="F49" t="s">
        <v>11</v>
      </c>
      <c r="G49">
        <v>720</v>
      </c>
      <c r="H49" t="s">
        <v>10</v>
      </c>
    </row>
  </sheetData>
  <autoFilter ref="A1:H49" xr:uid="{00000000-0009-0000-0000-000000000000}"/>
  <pageMargins left="0.7" right="0.7" top="0.75" bottom="0.75" header="0.3" footer="0.3"/>
  <ignoredErrors>
    <ignoredError sqref="A1:H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RowHeight="16" x14ac:dyDescent="0.2"/>
  <cols>
    <col min="1" max="1" width="34.83203125" customWidth="1"/>
    <col min="2" max="2" width="30.83203125" customWidth="1"/>
    <col min="3" max="3" width="16.83203125" customWidth="1"/>
    <col min="4" max="6" width="14.83203125" customWidth="1"/>
    <col min="7" max="7" width="30.83203125" customWidth="1"/>
  </cols>
  <sheetData>
    <row r="1" spans="1:7" x14ac:dyDescent="0.2">
      <c r="A1" t="s">
        <v>116</v>
      </c>
      <c r="B1" t="s">
        <v>117</v>
      </c>
      <c r="C1" t="s">
        <v>5</v>
      </c>
      <c r="D1" t="s">
        <v>118</v>
      </c>
      <c r="E1" t="s">
        <v>119</v>
      </c>
      <c r="F1" t="s">
        <v>120</v>
      </c>
      <c r="G1" t="s">
        <v>7</v>
      </c>
    </row>
    <row r="2" spans="1:7" x14ac:dyDescent="0.2">
      <c r="A2" t="s">
        <v>121</v>
      </c>
      <c r="B2" t="s">
        <v>122</v>
      </c>
      <c r="C2" t="s">
        <v>123</v>
      </c>
      <c r="D2" t="s">
        <v>124</v>
      </c>
      <c r="E2">
        <v>250</v>
      </c>
      <c r="F2">
        <v>0</v>
      </c>
      <c r="G2" t="s">
        <v>10</v>
      </c>
    </row>
  </sheetData>
  <autoFilter ref="A1:G2" xr:uid="{00000000-0009-0000-0000-000001000000}"/>
  <pageMargins left="0.7" right="0.7" top="0.75" bottom="0.75" header="0.3" footer="0.3"/>
  <ignoredErrors>
    <ignoredError sqref="A1: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RowHeight="16" x14ac:dyDescent="0.2"/>
  <cols>
    <col min="1" max="1" width="30.83203125" customWidth="1"/>
    <col min="2" max="4" width="20.83203125" customWidth="1"/>
    <col min="5" max="6" width="18.83203125" customWidth="1"/>
  </cols>
  <sheetData>
    <row r="1" spans="1:6" x14ac:dyDescent="0.2">
      <c r="A1" t="s">
        <v>125</v>
      </c>
      <c r="B1" t="s">
        <v>126</v>
      </c>
      <c r="C1" t="s">
        <v>127</v>
      </c>
      <c r="D1" t="s">
        <v>128</v>
      </c>
      <c r="E1" t="s">
        <v>120</v>
      </c>
      <c r="F1" t="s">
        <v>129</v>
      </c>
    </row>
    <row r="2" spans="1:6" x14ac:dyDescent="0.2">
      <c r="A2" t="s">
        <v>130</v>
      </c>
      <c r="B2">
        <v>0</v>
      </c>
      <c r="C2">
        <v>250</v>
      </c>
      <c r="D2">
        <v>250</v>
      </c>
      <c r="E2">
        <v>0</v>
      </c>
      <c r="F2">
        <v>250</v>
      </c>
    </row>
    <row r="3" spans="1:6" x14ac:dyDescent="0.2">
      <c r="A3" t="s">
        <v>131</v>
      </c>
      <c r="B3">
        <v>5733</v>
      </c>
      <c r="C3">
        <v>0</v>
      </c>
      <c r="D3">
        <v>5733</v>
      </c>
      <c r="E3">
        <v>0</v>
      </c>
      <c r="F3">
        <v>5733</v>
      </c>
    </row>
    <row r="4" spans="1:6" x14ac:dyDescent="0.2">
      <c r="A4" t="s">
        <v>132</v>
      </c>
      <c r="B4">
        <f>SUM(B2:B3)</f>
        <v>5733</v>
      </c>
      <c r="C4">
        <f>SUM(C2:C3)</f>
        <v>250</v>
      </c>
      <c r="D4">
        <f>SUM(D2:D3)</f>
        <v>5983</v>
      </c>
      <c r="E4">
        <f>SUM(E2:E3)</f>
        <v>0</v>
      </c>
      <c r="F4">
        <f>SUM(F2:F3)</f>
        <v>5983</v>
      </c>
    </row>
    <row r="6" spans="1:6" x14ac:dyDescent="0.2">
      <c r="A6" t="s">
        <v>133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</row>
    <row r="7" spans="1:6" x14ac:dyDescent="0.2">
      <c r="A7" t="s">
        <v>134</v>
      </c>
      <c r="B7">
        <v>2315</v>
      </c>
    </row>
    <row r="8" spans="1:6" x14ac:dyDescent="0.2">
      <c r="A8" t="s">
        <v>135</v>
      </c>
      <c r="B8">
        <v>0</v>
      </c>
    </row>
    <row r="9" spans="1:6" x14ac:dyDescent="0.2">
      <c r="A9" t="s">
        <v>136</v>
      </c>
      <c r="B9">
        <v>2315</v>
      </c>
    </row>
  </sheetData>
  <pageMargins left="0.7" right="0.7" top="0.75" bottom="0.75" header="0.3" footer="0.3"/>
  <ignoredErrors>
    <ignoredError sqref="A1:F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RowHeight="16" x14ac:dyDescent="0.2"/>
  <cols>
    <col min="1" max="1" width="14.83203125" customWidth="1"/>
    <col min="2" max="2" width="30.83203125" customWidth="1"/>
    <col min="3" max="3" width="42.83203125" customWidth="1"/>
    <col min="4" max="4" width="18.83203125" customWidth="1"/>
    <col min="5" max="5" width="32.83203125" customWidth="1"/>
  </cols>
  <sheetData>
    <row r="1" spans="1:5" x14ac:dyDescent="0.2">
      <c r="A1" t="s">
        <v>118</v>
      </c>
      <c r="B1" t="s">
        <v>137</v>
      </c>
      <c r="C1" t="s">
        <v>117</v>
      </c>
      <c r="D1" t="s">
        <v>5</v>
      </c>
      <c r="E1" t="s">
        <v>7</v>
      </c>
    </row>
  </sheetData>
  <pageMargins left="0.7" right="0.7" top="0.75" bottom="0.75" header="0.3" footer="0.3"/>
  <ignoredErrors>
    <ignoredError sqref="A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tabSelected="1" workbookViewId="0"/>
  </sheetViews>
  <sheetFormatPr baseColWidth="10" defaultRowHeight="16" x14ac:dyDescent="0.2"/>
  <cols>
    <col min="1" max="1" width="14.83203125" customWidth="1"/>
    <col min="2" max="2" width="24.83203125" customWidth="1"/>
    <col min="3" max="3" width="18.83203125" customWidth="1"/>
    <col min="4" max="4" width="28.83203125" customWidth="1"/>
    <col min="5" max="5" width="24.83203125" customWidth="1"/>
    <col min="6" max="6" width="36.83203125" customWidth="1"/>
    <col min="7" max="7" width="14.83203125" customWidth="1"/>
  </cols>
  <sheetData>
    <row r="1" spans="1:7" x14ac:dyDescent="0.2">
      <c r="A1" t="s">
        <v>118</v>
      </c>
      <c r="B1" t="s">
        <v>138</v>
      </c>
      <c r="C1" t="s">
        <v>4</v>
      </c>
      <c r="D1" t="s">
        <v>139</v>
      </c>
      <c r="E1" t="s">
        <v>140</v>
      </c>
      <c r="F1" t="s">
        <v>141</v>
      </c>
      <c r="G1" t="s">
        <v>5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Zgrade</vt:lpstr>
      <vt:lpstr>Drugi poslovi</vt:lpstr>
      <vt:lpstr>Zarada</vt:lpstr>
      <vt:lpstr>Raspored</vt:lpstr>
      <vt:lpstr>Zahtjevi</vt:lpstr>
      <vt:lpstr>'Drugi poslovi'!_FilterDatabase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 Clean — Kontakti</dc:title>
  <dc:creator>Pro Clean obrt — Ajdin Mahmutović</dc:creator>
  <cp:lastModifiedBy>Ajdin Mahmutović</cp:lastModifiedBy>
  <dcterms:created xsi:type="dcterms:W3CDTF">2026-05-04T21:14:29Z</dcterms:created>
  <dcterms:modified xsi:type="dcterms:W3CDTF">2026-05-05T14:28:38Z</dcterms:modified>
</cp:coreProperties>
</file>